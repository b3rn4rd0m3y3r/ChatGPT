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ros" sheetId="1" state="visible" r:id="rId3"/>
    <sheet name="Calcul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<sst xmlns="http://schemas.openxmlformats.org/spreadsheetml/2006/main" count="24" uniqueCount="23">
  <si>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ESCOLHA DA CATEGORIA PARA SIMULAÇÃO</t>
  </si>
  <si>
    <t xml:space="preserve">Categoria Selecionada:</t>
  </si>
  <si>
    <t xml:space="preserve">UberX</t>
  </si>
  <si>
    <t xml:space="preserve">Parâmetro</t>
  </si>
  <si>
    <t xml:space="preserve">Comfort</t>
  </si>
  <si>
    <t xml:space="preserve">Black</t>
  </si>
  <si>
    <t xml:space="preserve">Simulação Atual</t>
  </si>
  <si>
    <t xml:space="preserve">Faturamento 4h (R$)</t>
  </si>
  <si>
    <t xml:space="preserve">Faturamento 8h (R$)</t>
  </si>
  <si>
    <t xml:space="preserve">Faturamento 12h (R$)</t>
  </si>
  <si>
    <t xml:space="preserve">Aluguel Semanal (R$)</t>
  </si>
  <si>
    <t xml:space="preserve">Combustível Mensal (R$)</t>
  </si>
  <si>
    <t xml:space="preserve">Horas por dia</t>
  </si>
  <si>
    <t xml:space="preserve">Dias trabalhados no mês</t>
  </si>
  <si>
    <t xml:space="preserve">Taxa Uber (%)</t>
  </si>
  <si>
    <t xml:space="preserve">Meta Lucro Líquido (R$)</t>
  </si>
  <si>
    <t xml:space="preserve">RESULTADOS DA SIMULAÇÃO</t>
  </si>
  <si>
    <t xml:space="preserve">Faturamento Diário</t>
  </si>
  <si>
    <t xml:space="preserve">Faturamento Mensal Bruto</t>
  </si>
  <si>
    <t xml:space="preserve">Receita Após Taxa Uber</t>
  </si>
  <si>
    <t xml:space="preserve">Aluguel Mensal</t>
  </si>
  <si>
    <t xml:space="preserve">Lucro Líquido Mensal</t>
  </si>
  <si>
    <t xml:space="preserve">Faturamento Diário Necessário p/ Meta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</si>
</sst>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2A6099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.32"/>
    <col collapsed="false" customWidth="true" hidden="false" outlineLevel="0" max="2" min="2" style="0" width="14.88"/>
    <col collapsed="false" customWidth="true" hidden="false" outlineLevel="0" max="5" min="5" style="0" width="17.3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4" customFormat="false" ht="15" hidden="false" customHeight="false" outlineLevel="0" collapsed="false">
      <c r="A4" s="1" t="s">
        <v>3</v>
      </c>
      <c r="B4" s="0" t="s">
        <v>2</v>
      </c>
      <c r="C4" s="0" t="s">
        <v>4</v>
      </c>
      <c r="D4" s="0" t="s">
        <v>5</v>
      </c>
      <c r="E4" s="0" t="s">
        <v>6</v>
      </c>
    </row>
    <row r="5" customFormat="false" ht="15" hidden="false" customHeight="false" outlineLevel="0" collapsed="false">
      <c r="A5" s="0" t="s">
        <v>7</v>
      </c>
      <c r="B5" s="0" t="n">
        <v>125</v>
      </c>
      <c r="C5" s="0" t="n">
        <v>160</v>
      </c>
      <c r="D5" s="0" t="n">
        <v>215</v>
      </c>
      <c r="E5" s="0" t="n">
        <f aca="false">INDEX(B5:D5,MATCH($B$2,B4:D4,0))</f>
        <v>125</v>
      </c>
    </row>
    <row r="6" customFormat="false" ht="15" hidden="false" customHeight="false" outlineLevel="0" collapsed="false">
      <c r="A6" s="0" t="s">
        <v>8</v>
      </c>
      <c r="B6" s="0" t="n">
        <v>240</v>
      </c>
      <c r="C6" s="0" t="n">
        <v>310</v>
      </c>
      <c r="D6" s="0" t="n">
        <v>430</v>
      </c>
      <c r="E6" s="0" t="n">
        <f aca="false">INDEX(B6:D6,MATCH($B$2,B4:D4,0))</f>
        <v>240</v>
      </c>
    </row>
    <row r="7" customFormat="false" ht="15" hidden="false" customHeight="false" outlineLevel="0" collapsed="false">
      <c r="A7" s="0" t="s">
        <v>9</v>
      </c>
      <c r="B7" s="0" t="n">
        <v>360</v>
      </c>
      <c r="C7" s="0" t="n">
        <v>465</v>
      </c>
      <c r="D7" s="0" t="n">
        <v>650</v>
      </c>
      <c r="E7" s="0" t="n">
        <f aca="false">INDEX(B7:D7,MATCH($B$2,B4:D4,0))</f>
        <v>360</v>
      </c>
    </row>
    <row r="8" customFormat="false" ht="15" hidden="false" customHeight="false" outlineLevel="0" collapsed="false">
      <c r="A8" s="0" t="s">
        <v>10</v>
      </c>
      <c r="B8" s="0" t="n">
        <v>650</v>
      </c>
      <c r="C8" s="0" t="n">
        <v>750</v>
      </c>
      <c r="D8" s="0" t="n">
        <v>1100</v>
      </c>
      <c r="E8" s="0" t="n">
        <f aca="false">INDEX(B8:D8,MATCH($B$2,B4:D4,0))</f>
        <v>650</v>
      </c>
    </row>
    <row r="9" customFormat="false" ht="15" hidden="false" customHeight="false" outlineLevel="0" collapsed="false">
      <c r="A9" s="0" t="s">
        <v>11</v>
      </c>
      <c r="B9" s="0" t="n">
        <v>2138</v>
      </c>
      <c r="C9" s="0" t="n">
        <v>2138</v>
      </c>
      <c r="D9" s="0" t="n">
        <v>2138</v>
      </c>
      <c r="E9" s="0" t="n">
        <f aca="false">INDEX(B9:D9,MATCH($B$2,B4:D4,0))</f>
        <v>2138</v>
      </c>
    </row>
    <row r="11" customFormat="false" ht="15" hidden="false" customHeight="false" outlineLevel="0" collapsed="false">
      <c r="A11" s="0" t="s">
        <v>12</v>
      </c>
      <c r="B11" s="0" t="n">
        <v>9</v>
      </c>
    </row>
    <row r="12" customFormat="false" ht="15" hidden="false" customHeight="false" outlineLevel="0" collapsed="false">
      <c r="A12" s="0" t="s">
        <v>13</v>
      </c>
      <c r="B12" s="0" t="n">
        <v>26</v>
      </c>
    </row>
    <row r="13" customFormat="false" ht="15" hidden="false" customHeight="false" outlineLevel="0" collapsed="false">
      <c r="A13" s="0" t="s">
        <v>14</v>
      </c>
      <c r="B13" s="0" t="n">
        <v>0.25</v>
      </c>
    </row>
    <row r="14" customFormat="false" ht="15" hidden="false" customHeight="false" outlineLevel="0" collapsed="false">
      <c r="A14" s="0" t="s">
        <v>15</v>
      </c>
      <c r="B14" s="0" t="n">
        <v>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.56"/>
  </cols>
  <sheetData>
    <row r="1" customFormat="false" ht="15" hidden="false" customHeight="false" outlineLevel="0" collapsed="false">
      <c r="A1" s="1" t="s">
        <v>16</v>
      </c>
    </row>
    <row r="2" customFormat="false" ht="15" hidden="false" customHeight="false" outlineLevel="0" collapsed="false">
      <c r="A2" s="0" t="s">
        <v>17</v>
      </c>
      <c r="B2" s="0" t="n">
        <f aca="false">IF(Parametros!B11=4,Parametros!E5,IF(Parametros!B11=8,Parametros!E6,Parametros!E7))</f>
        <v>360</v>
      </c>
    </row>
    <row r="3" customFormat="false" ht="15" hidden="false" customHeight="false" outlineLevel="0" collapsed="false">
      <c r="A3" s="0" t="s">
        <v>18</v>
      </c>
      <c r="B3" s="0" t="n">
        <f aca="false">B2*Parametros!B12</f>
        <v>9360</v>
      </c>
    </row>
    <row r="4" customFormat="false" ht="15" hidden="false" customHeight="false" outlineLevel="0" collapsed="false">
      <c r="A4" s="0" t="s">
        <v>19</v>
      </c>
      <c r="B4" s="0" t="n">
        <f aca="false">B3*(1-Parametros!B13)</f>
        <v>7020</v>
      </c>
    </row>
    <row r="5" customFormat="false" ht="15" hidden="false" customHeight="false" outlineLevel="0" collapsed="false">
      <c r="A5" s="0" t="s">
        <v>20</v>
      </c>
      <c r="B5" s="0" t="n">
        <f aca="false">Parametros!E8*4.33</f>
        <v>2814.5</v>
      </c>
    </row>
    <row r="6" customFormat="false" ht="15" hidden="false" customHeight="false" outlineLevel="0" collapsed="false">
      <c r="A6" s="0" t="s">
        <v>21</v>
      </c>
      <c r="B6" s="2" t="n">
        <f aca="false">B4-B5-Parametros!E9</f>
        <v>2067.5</v>
      </c>
    </row>
    <row r="7" customFormat="false" ht="15" hidden="false" customHeight="false" outlineLevel="0" collapsed="false">
      <c r="A7" s="0" t="s">
        <v>22</v>
      </c>
      <c r="B7" s="0" t="n">
        <f aca="false">(Parametros!B14+Parametros!E9+B5)/(Parametros!B12*(1-Parametros!B13))</f>
        <v>561.666666666667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2026-02-15T14:07:42Z</dcterms:created>
  <dc:creator>openpyxl</dc:creator>
  <dc:description/>
  <dc:language>pt-BR</dc:language>
  <cp:lastModifiedBy/>
  <dcterms:modified xsi:type="dcterms:W3CDTF">2026-02-15T11:50:31Z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